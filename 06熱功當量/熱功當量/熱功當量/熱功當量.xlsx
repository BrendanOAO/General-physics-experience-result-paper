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e6a37fcc288f3424/Desktop/大學資料/普物實驗/熱功當量/"/>
    </mc:Choice>
  </mc:AlternateContent>
  <xr:revisionPtr revIDLastSave="0" documentId="8_{97384899-7122-4931-A189-BA326016F152}" xr6:coauthVersionLast="47" xr6:coauthVersionMax="47" xr10:uidLastSave="{00000000-0000-0000-0000-000000000000}"/>
  <bookViews>
    <workbookView xWindow="0" yWindow="24" windowWidth="22800" windowHeight="12216" xr2:uid="{B7416B89-3F92-44CB-873E-ED907A65E53D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P23" i="1" l="1"/>
  <c r="P16" i="1"/>
  <c r="K4" i="1"/>
  <c r="F6" i="1"/>
  <c r="P9" i="1"/>
  <c r="D6" i="1"/>
  <c r="P10" i="1"/>
  <c r="B36" i="1"/>
  <c r="B29" i="1"/>
  <c r="B31" i="1" s="1"/>
  <c r="B33" i="1" s="1"/>
</calcChain>
</file>

<file path=xl/sharedStrings.xml><?xml version="1.0" encoding="utf-8"?>
<sst xmlns="http://schemas.openxmlformats.org/spreadsheetml/2006/main" count="42" uniqueCount="37">
  <si>
    <t>實驗一</t>
    <phoneticPr fontId="1" type="noConversion"/>
  </si>
  <si>
    <t>系統熱容測定</t>
    <phoneticPr fontId="1" type="noConversion"/>
  </si>
  <si>
    <t>溫度較高水質量</t>
    <phoneticPr fontId="1" type="noConversion"/>
  </si>
  <si>
    <t>溫度較低水質量</t>
    <phoneticPr fontId="1" type="noConversion"/>
  </si>
  <si>
    <t>T0=</t>
    <phoneticPr fontId="1" type="noConversion"/>
  </si>
  <si>
    <r>
      <t>T</t>
    </r>
    <r>
      <rPr>
        <sz val="12"/>
        <color theme="1"/>
        <rFont val="新細明體"/>
        <family val="1"/>
        <charset val="136"/>
        <scheme val="minor"/>
      </rPr>
      <t>H</t>
    </r>
    <r>
      <rPr>
        <sz val="12"/>
        <color theme="1"/>
        <rFont val="新細明體"/>
        <family val="2"/>
        <charset val="136"/>
        <scheme val="minor"/>
      </rPr>
      <t>=</t>
    </r>
    <phoneticPr fontId="1" type="noConversion"/>
  </si>
  <si>
    <t>混和後溫度</t>
    <phoneticPr fontId="1" type="noConversion"/>
  </si>
  <si>
    <t>Tave=</t>
    <phoneticPr fontId="1" type="noConversion"/>
  </si>
  <si>
    <t>系統熱容=</t>
    <phoneticPr fontId="1" type="noConversion"/>
  </si>
  <si>
    <t>實驗二</t>
    <phoneticPr fontId="1" type="noConversion"/>
  </si>
  <si>
    <t>測量熱功當量</t>
    <phoneticPr fontId="1" type="noConversion"/>
  </si>
  <si>
    <t>水質量=</t>
    <phoneticPr fontId="1" type="noConversion"/>
  </si>
  <si>
    <t>溫度</t>
    <phoneticPr fontId="1" type="noConversion"/>
  </si>
  <si>
    <t>初始溫度</t>
    <phoneticPr fontId="1" type="noConversion"/>
  </si>
  <si>
    <t>室溫</t>
    <phoneticPr fontId="1" type="noConversion"/>
  </si>
  <si>
    <t>電壓</t>
    <phoneticPr fontId="1" type="noConversion"/>
  </si>
  <si>
    <t>電阻</t>
    <phoneticPr fontId="1" type="noConversion"/>
  </si>
  <si>
    <t>升溫過程</t>
    <phoneticPr fontId="1" type="noConversion"/>
  </si>
  <si>
    <t>時間</t>
    <phoneticPr fontId="1" type="noConversion"/>
  </si>
  <si>
    <t>降溫過程</t>
    <phoneticPr fontId="1" type="noConversion"/>
  </si>
  <si>
    <t>升降溫全過程</t>
    <phoneticPr fontId="1" type="noConversion"/>
  </si>
  <si>
    <t>加熱總用時</t>
    <phoneticPr fontId="1" type="noConversion"/>
  </si>
  <si>
    <t>降溫用時</t>
    <phoneticPr fontId="1" type="noConversion"/>
  </si>
  <si>
    <t>系統46.5分溫度</t>
    <phoneticPr fontId="1" type="noConversion"/>
  </si>
  <si>
    <t>系統63分溫度</t>
    <phoneticPr fontId="1" type="noConversion"/>
  </si>
  <si>
    <t>k</t>
    <phoneticPr fontId="1" type="noConversion"/>
  </si>
  <si>
    <r>
      <rPr>
        <sz val="14"/>
        <color theme="1"/>
        <rFont val="標楷體"/>
        <family val="4"/>
        <charset val="136"/>
      </rPr>
      <t>Δ</t>
    </r>
    <r>
      <rPr>
        <sz val="14"/>
        <color theme="1"/>
        <rFont val="新細明體"/>
        <family val="1"/>
        <charset val="136"/>
      </rPr>
      <t>T</t>
    </r>
    <phoneticPr fontId="1" type="noConversion"/>
  </si>
  <si>
    <t>修正後TH</t>
    <phoneticPr fontId="1" type="noConversion"/>
  </si>
  <si>
    <t>外界給的能量(j)</t>
    <phoneticPr fontId="1" type="noConversion"/>
  </si>
  <si>
    <t>j</t>
    <phoneticPr fontId="1" type="noConversion"/>
  </si>
  <si>
    <t>熱功當量J=4.8583</t>
    <phoneticPr fontId="1" type="noConversion"/>
  </si>
  <si>
    <t>Tave理論值</t>
    <phoneticPr fontId="1" type="noConversion"/>
  </si>
  <si>
    <t>熱功當量J=4.1702</t>
    <phoneticPr fontId="1" type="noConversion"/>
  </si>
  <si>
    <r>
      <t>實驗一混和溫度為</t>
    </r>
    <r>
      <rPr>
        <sz val="16"/>
        <color rgb="FFFF0000"/>
        <rFont val="新細明體"/>
        <family val="1"/>
        <charset val="136"/>
        <scheme val="minor"/>
      </rPr>
      <t>34</t>
    </r>
    <r>
      <rPr>
        <sz val="16"/>
        <color theme="1"/>
        <rFont val="新細明體"/>
        <family val="1"/>
        <charset val="136"/>
        <scheme val="minor"/>
      </rPr>
      <t>的熱功當量</t>
    </r>
    <phoneticPr fontId="1" type="noConversion"/>
  </si>
  <si>
    <r>
      <t>實驗一混和溫度為</t>
    </r>
    <r>
      <rPr>
        <sz val="16"/>
        <color rgb="FFFF0000"/>
        <rFont val="新細明體"/>
        <family val="1"/>
        <charset val="136"/>
        <scheme val="minor"/>
      </rPr>
      <t>33.6</t>
    </r>
    <r>
      <rPr>
        <sz val="16"/>
        <color theme="1"/>
        <rFont val="新細明體"/>
        <family val="1"/>
        <charset val="136"/>
        <scheme val="minor"/>
      </rPr>
      <t>的熱功當量</t>
    </r>
  </si>
  <si>
    <t>誤差=</t>
    <phoneticPr fontId="1" type="noConversion"/>
  </si>
  <si>
    <t>J實際值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</si>
</sst>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00"/>
    <numFmt numFmtId="177" formatCode="0.000"/>
    <numFmt numFmtId="187" formatCode="0.00_ "/>
  </numFmts>
  <fonts count="10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12"/>
      <color theme="1"/>
      <name val="新細明體"/>
      <family val="1"/>
      <charset val="136"/>
      <scheme val="minor"/>
    </font>
    <font>
      <sz val="14"/>
      <color theme="1"/>
      <name val="新細明體"/>
      <family val="1"/>
      <charset val="136"/>
      <scheme val="minor"/>
    </font>
    <font>
      <sz val="14"/>
      <color theme="1"/>
      <name val="標楷體"/>
      <family val="4"/>
      <charset val="136"/>
    </font>
    <font>
      <sz val="14"/>
      <color theme="1"/>
      <name val="新細明體"/>
      <family val="1"/>
      <charset val="136"/>
    </font>
    <font>
      <sz val="14"/>
      <color theme="1"/>
      <name val="新細明體"/>
      <family val="4"/>
      <charset val="136"/>
    </font>
    <font>
      <sz val="24"/>
      <color theme="1"/>
      <name val="新細明體"/>
      <family val="2"/>
      <charset val="136"/>
      <scheme val="minor"/>
    </font>
    <font>
      <sz val="16"/>
      <color theme="1"/>
      <name val="新細明體"/>
      <family val="1"/>
      <charset val="136"/>
      <scheme val="minor"/>
    </font>
    <font>
      <sz val="16"/>
      <color rgb="FFFF0000"/>
      <name val="新細明體"/>
      <family val="1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87" fontId="0" fillId="0" borderId="0" xfId="0" applyNumberFormat="1" applyAlignment="1">
      <alignment horizontal="center" vertical="center"/>
    </xf>
    <xf numFmtId="0" fontId="7" fillId="0" borderId="0" xfId="0" applyFont="1" applyFill="1" applyAlignment="1">
      <alignment horizontal="center" vertical="center"/>
    </xf>
    <xf numFmtId="0" fontId="8" fillId="0" borderId="0" xfId="0" applyFont="1" applyAlignment="1">
      <alignment horizontal="center" vertical="center"/>
    </xf>
    <xf numFmtId="177" fontId="0" fillId="0" borderId="0" xfId="0" applyNumberFormat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TW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zh-TW" altLang="en-US"/>
              <a:t>升降溫全過程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zh-TW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工作表1!$M$9:$M$10</c:f>
              <c:strCache>
                <c:ptCount val="2"/>
                <c:pt idx="0">
                  <c:v>升降溫全過程</c:v>
                </c:pt>
                <c:pt idx="1">
                  <c:v>溫度</c:v>
                </c:pt>
              </c:strCache>
            </c:strRef>
          </c:tx>
          <c:spPr>
            <a:ln w="12700" cap="rnd">
              <a:solidFill>
                <a:schemeClr val="accent1">
                  <a:lumMod val="75000"/>
                </a:schemeClr>
              </a:solidFill>
              <a:prstDash val="solid"/>
              <a:round/>
            </a:ln>
            <a:effectLst/>
          </c:spPr>
          <c:marker>
            <c:symbol val="triang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  <a:prstDash val="solid"/>
              </a:ln>
              <a:effectLst/>
            </c:spPr>
          </c:marker>
          <c:xVal>
            <c:numRef>
              <c:f>工作表1!$L$11:$L$47</c:f>
              <c:numCache>
                <c:formatCode>General</c:formatCode>
                <c:ptCount val="37"/>
                <c:pt idx="0">
                  <c:v>0</c:v>
                </c:pt>
                <c:pt idx="1">
                  <c:v>2</c:v>
                </c:pt>
                <c:pt idx="2">
                  <c:v>4</c:v>
                </c:pt>
                <c:pt idx="3">
                  <c:v>6</c:v>
                </c:pt>
                <c:pt idx="4">
                  <c:v>8</c:v>
                </c:pt>
                <c:pt idx="5">
                  <c:v>10</c:v>
                </c:pt>
                <c:pt idx="6">
                  <c:v>12</c:v>
                </c:pt>
                <c:pt idx="7">
                  <c:v>14</c:v>
                </c:pt>
                <c:pt idx="8">
                  <c:v>16</c:v>
                </c:pt>
                <c:pt idx="9">
                  <c:v>18</c:v>
                </c:pt>
                <c:pt idx="10">
                  <c:v>20</c:v>
                </c:pt>
                <c:pt idx="11">
                  <c:v>22</c:v>
                </c:pt>
                <c:pt idx="12">
                  <c:v>24</c:v>
                </c:pt>
                <c:pt idx="13">
                  <c:v>26</c:v>
                </c:pt>
                <c:pt idx="14">
                  <c:v>28</c:v>
                </c:pt>
                <c:pt idx="15">
                  <c:v>30</c:v>
                </c:pt>
                <c:pt idx="16">
                  <c:v>32</c:v>
                </c:pt>
                <c:pt idx="17">
                  <c:v>34</c:v>
                </c:pt>
                <c:pt idx="18">
                  <c:v>36</c:v>
                </c:pt>
                <c:pt idx="19">
                  <c:v>38</c:v>
                </c:pt>
                <c:pt idx="20">
                  <c:v>40</c:v>
                </c:pt>
                <c:pt idx="21">
                  <c:v>42</c:v>
                </c:pt>
                <c:pt idx="22">
                  <c:v>44</c:v>
                </c:pt>
                <c:pt idx="23">
                  <c:v>46.5</c:v>
                </c:pt>
                <c:pt idx="24">
                  <c:v>51</c:v>
                </c:pt>
                <c:pt idx="25">
                  <c:v>52</c:v>
                </c:pt>
                <c:pt idx="26">
                  <c:v>53</c:v>
                </c:pt>
                <c:pt idx="27">
                  <c:v>54</c:v>
                </c:pt>
                <c:pt idx="28">
                  <c:v>55</c:v>
                </c:pt>
                <c:pt idx="29">
                  <c:v>56</c:v>
                </c:pt>
                <c:pt idx="30">
                  <c:v>57</c:v>
                </c:pt>
                <c:pt idx="31">
                  <c:v>58</c:v>
                </c:pt>
                <c:pt idx="32">
                  <c:v>59</c:v>
                </c:pt>
                <c:pt idx="33">
                  <c:v>60</c:v>
                </c:pt>
                <c:pt idx="34">
                  <c:v>61</c:v>
                </c:pt>
                <c:pt idx="35">
                  <c:v>62</c:v>
                </c:pt>
                <c:pt idx="36">
                  <c:v>63</c:v>
                </c:pt>
              </c:numCache>
            </c:numRef>
          </c:xVal>
          <c:yVal>
            <c:numRef>
              <c:f>工作表1!$M$11:$M$47</c:f>
              <c:numCache>
                <c:formatCode>General</c:formatCode>
                <c:ptCount val="37"/>
                <c:pt idx="0">
                  <c:v>24.5</c:v>
                </c:pt>
                <c:pt idx="1">
                  <c:v>25.1</c:v>
                </c:pt>
                <c:pt idx="2">
                  <c:v>25.5</c:v>
                </c:pt>
                <c:pt idx="3">
                  <c:v>26.4</c:v>
                </c:pt>
                <c:pt idx="4">
                  <c:v>27.3</c:v>
                </c:pt>
                <c:pt idx="5">
                  <c:v>27.7</c:v>
                </c:pt>
                <c:pt idx="6">
                  <c:v>28.5</c:v>
                </c:pt>
                <c:pt idx="7">
                  <c:v>29.1</c:v>
                </c:pt>
                <c:pt idx="8">
                  <c:v>29.3</c:v>
                </c:pt>
                <c:pt idx="9">
                  <c:v>30.5</c:v>
                </c:pt>
                <c:pt idx="10">
                  <c:v>30.8</c:v>
                </c:pt>
                <c:pt idx="11">
                  <c:v>31.2</c:v>
                </c:pt>
                <c:pt idx="12">
                  <c:v>31.8</c:v>
                </c:pt>
                <c:pt idx="13">
                  <c:v>31.8</c:v>
                </c:pt>
                <c:pt idx="14">
                  <c:v>32.4</c:v>
                </c:pt>
                <c:pt idx="15">
                  <c:v>32.5</c:v>
                </c:pt>
                <c:pt idx="16">
                  <c:v>33.700000000000003</c:v>
                </c:pt>
                <c:pt idx="17">
                  <c:v>33.6</c:v>
                </c:pt>
                <c:pt idx="18">
                  <c:v>34.1</c:v>
                </c:pt>
                <c:pt idx="19">
                  <c:v>34.9</c:v>
                </c:pt>
                <c:pt idx="20">
                  <c:v>35.299999999999997</c:v>
                </c:pt>
                <c:pt idx="21">
                  <c:v>35.5</c:v>
                </c:pt>
                <c:pt idx="22">
                  <c:v>35.6</c:v>
                </c:pt>
                <c:pt idx="23">
                  <c:v>36.5</c:v>
                </c:pt>
                <c:pt idx="24">
                  <c:v>35.9</c:v>
                </c:pt>
                <c:pt idx="25">
                  <c:v>35.9</c:v>
                </c:pt>
                <c:pt idx="26">
                  <c:v>35.799999999999997</c:v>
                </c:pt>
                <c:pt idx="27">
                  <c:v>35.700000000000003</c:v>
                </c:pt>
                <c:pt idx="28">
                  <c:v>35.6</c:v>
                </c:pt>
                <c:pt idx="29">
                  <c:v>35.6</c:v>
                </c:pt>
                <c:pt idx="30">
                  <c:v>35.5</c:v>
                </c:pt>
                <c:pt idx="31">
                  <c:v>35.799999999999997</c:v>
                </c:pt>
                <c:pt idx="32">
                  <c:v>35.200000000000003</c:v>
                </c:pt>
                <c:pt idx="33">
                  <c:v>35</c:v>
                </c:pt>
                <c:pt idx="34">
                  <c:v>35</c:v>
                </c:pt>
                <c:pt idx="35">
                  <c:v>34.9</c:v>
                </c:pt>
                <c:pt idx="36">
                  <c:v>34.9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AAE-4D29-9A92-C728B4F6B74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53035679"/>
        <c:axId val="553036511"/>
      </c:scatterChart>
      <c:valAx>
        <c:axId val="553035679"/>
        <c:scaling>
          <c:orientation val="minMax"/>
          <c:max val="65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時間</a:t>
                </a:r>
                <a:r>
                  <a:rPr lang="en-US" altLang="zh-TW"/>
                  <a:t>(min)</a:t>
                </a:r>
                <a:endParaRPr lang="zh-TW" altLang="en-US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3036511"/>
        <c:crosses val="autoZero"/>
        <c:crossBetween val="midCat"/>
      </c:valAx>
      <c:valAx>
        <c:axId val="553036511"/>
        <c:scaling>
          <c:orientation val="minMax"/>
          <c:min val="24.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zh-TW" altLang="en-US"/>
                  <a:t>溫度</a:t>
                </a:r>
                <a:r>
                  <a:rPr lang="en-US" altLang="zh-TW"/>
                  <a:t>(</a:t>
                </a:r>
                <a:r>
                  <a:rPr lang="en-US" altLang="zh-TW">
                    <a:latin typeface="標楷體" panose="03000509000000000000" pitchFamily="65" charset="-120"/>
                    <a:ea typeface="標楷體" panose="03000509000000000000" pitchFamily="65" charset="-120"/>
                  </a:rPr>
                  <a:t>℃</a:t>
                </a:r>
                <a:r>
                  <a:rPr lang="en-US" altLang="zh-TW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zh-TW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zh-TW"/>
          </a:p>
        </c:txPr>
        <c:crossAx val="553035679"/>
        <c:crosses val="autoZero"/>
        <c:crossBetween val="midCat"/>
      </c:valAx>
      <c:spPr>
        <a:noFill/>
        <a:ln>
          <a:solidFill>
            <a:schemeClr val="bg2"/>
          </a:solidFill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bg2">
          <a:lumMod val="75000"/>
        </a:schemeClr>
      </a:solidFill>
      <a:round/>
    </a:ln>
    <a:effectLst/>
  </c:spPr>
  <c:txPr>
    <a:bodyPr/>
    <a:lstStyle/>
    <a:p>
      <a:pPr>
        <a:defRPr/>
      </a:pPr>
      <a:endParaRPr lang="zh-TW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-1</xdr:colOff>
      <xdr:row>25</xdr:row>
      <xdr:rowOff>195645</xdr:rowOff>
    </xdr:from>
    <xdr:to>
      <xdr:col>21</xdr:col>
      <xdr:colOff>494209</xdr:colOff>
      <xdr:row>38</xdr:row>
      <xdr:rowOff>168751</xdr:rowOff>
    </xdr:to>
    <xdr:graphicFrame macro="">
      <xdr:nvGraphicFramePr>
        <xdr:cNvPr id="4" name="圖表 3">
          <a:extLst>
            <a:ext uri="{FF2B5EF4-FFF2-40B4-BE49-F238E27FC236}">
              <a16:creationId xmlns:a16="http://schemas.microsoft.com/office/drawing/2014/main" id="{CC14192C-6193-47B5-A99D-6A6DB4850A5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E7255-9566-4202-921A-F84A40CEFC7E}">
  <dimension ref="A1:S47"/>
  <sheetViews>
    <sheetView tabSelected="1" topLeftCell="A4" zoomScale="70" zoomScaleNormal="70" workbookViewId="0">
      <selection activeCell="T18" sqref="T18"/>
    </sheetView>
  </sheetViews>
  <sheetFormatPr defaultRowHeight="16.2" x14ac:dyDescent="0.3"/>
  <cols>
    <col min="1" max="1" width="8.88671875" style="1"/>
    <col min="2" max="2" width="9.88671875" style="1" customWidth="1"/>
    <col min="3" max="3" width="10.109375" style="1" customWidth="1"/>
    <col min="4" max="4" width="8.88671875" style="1"/>
    <col min="5" max="5" width="10.109375" style="1" customWidth="1"/>
    <col min="6" max="7" width="8.88671875" style="1"/>
    <col min="8" max="8" width="10.5546875" style="1" customWidth="1"/>
    <col min="9" max="17" width="8.88671875" style="1"/>
    <col min="18" max="18" width="9.5546875" style="1" customWidth="1"/>
    <col min="19" max="16384" width="8.88671875" style="1"/>
  </cols>
  <sheetData>
    <row r="1" spans="1:19" x14ac:dyDescent="0.3">
      <c r="A1" s="1" t="s">
        <v>0</v>
      </c>
      <c r="B1" s="2" t="s">
        <v>1</v>
      </c>
      <c r="C1" s="2"/>
    </row>
    <row r="2" spans="1:19" x14ac:dyDescent="0.3">
      <c r="B2" s="2" t="s">
        <v>2</v>
      </c>
      <c r="C2" s="2"/>
      <c r="D2" s="1">
        <v>150.15</v>
      </c>
      <c r="F2" s="2" t="s">
        <v>5</v>
      </c>
      <c r="G2" s="2"/>
      <c r="H2" s="1">
        <v>40.200000000000003</v>
      </c>
    </row>
    <row r="3" spans="1:19" x14ac:dyDescent="0.3">
      <c r="B3" s="2" t="s">
        <v>3</v>
      </c>
      <c r="C3" s="2"/>
      <c r="D3" s="1">
        <v>150.16999999999999</v>
      </c>
      <c r="F3" s="2" t="s">
        <v>4</v>
      </c>
      <c r="G3" s="2"/>
      <c r="H3" s="1">
        <v>25.2</v>
      </c>
    </row>
    <row r="4" spans="1:19" x14ac:dyDescent="0.3">
      <c r="B4" s="2" t="s">
        <v>6</v>
      </c>
      <c r="C4" s="2"/>
      <c r="D4" s="1" t="s">
        <v>7</v>
      </c>
      <c r="E4" s="1">
        <v>33.6</v>
      </c>
      <c r="F4" s="1">
        <v>34</v>
      </c>
      <c r="I4" s="2" t="s">
        <v>31</v>
      </c>
      <c r="J4" s="2"/>
      <c r="K4" s="1">
        <f>((H2-H3*(D3/D2)))/(D3/D2+1)</f>
        <v>7.497822322855626</v>
      </c>
    </row>
    <row r="6" spans="1:19" x14ac:dyDescent="0.3">
      <c r="B6" s="2" t="s">
        <v>8</v>
      </c>
      <c r="C6" s="2"/>
      <c r="D6" s="3">
        <f>(1*150.17*(E4-H3))/(H2-E4)-150.15</f>
        <v>40.975454545454511</v>
      </c>
      <c r="F6" s="3">
        <f>(1*150.17*(F4-H3))/(H2-F4)-150.15</f>
        <v>62.994516129032178</v>
      </c>
    </row>
    <row r="8" spans="1:19" x14ac:dyDescent="0.3">
      <c r="R8" s="1" t="s">
        <v>36</v>
      </c>
      <c r="S8" s="1">
        <v>4.1859999999999999</v>
      </c>
    </row>
    <row r="9" spans="1:19" x14ac:dyDescent="0.3">
      <c r="A9" s="1" t="s">
        <v>9</v>
      </c>
      <c r="B9" s="2" t="s">
        <v>10</v>
      </c>
      <c r="C9" s="2"/>
      <c r="E9" s="1" t="s">
        <v>17</v>
      </c>
      <c r="H9" s="1" t="s">
        <v>19</v>
      </c>
      <c r="L9" s="2" t="s">
        <v>20</v>
      </c>
      <c r="M9" s="2"/>
      <c r="P9" s="1">
        <f>B36/(F6*(B33-C11)+C10*(B33-C11))</f>
        <v>4.1702837371035875</v>
      </c>
    </row>
    <row r="10" spans="1:19" x14ac:dyDescent="0.3">
      <c r="B10" s="1" t="s">
        <v>11</v>
      </c>
      <c r="C10" s="1">
        <v>250.03</v>
      </c>
      <c r="E10" s="1" t="s">
        <v>18</v>
      </c>
      <c r="F10" s="1" t="s">
        <v>12</v>
      </c>
      <c r="H10" s="1" t="s">
        <v>18</v>
      </c>
      <c r="I10" s="1" t="s">
        <v>12</v>
      </c>
      <c r="L10" s="1" t="s">
        <v>18</v>
      </c>
      <c r="M10" s="1" t="s">
        <v>12</v>
      </c>
      <c r="O10" s="1" t="s">
        <v>29</v>
      </c>
      <c r="P10" s="1">
        <f>B36/(D6*(B33-C11)+C10*(B33-C11))</f>
        <v>4.4858301744434188</v>
      </c>
    </row>
    <row r="11" spans="1:19" ht="22.2" x14ac:dyDescent="0.3">
      <c r="B11" s="1" t="s">
        <v>13</v>
      </c>
      <c r="C11" s="1">
        <v>24.5</v>
      </c>
      <c r="E11" s="1">
        <v>0</v>
      </c>
      <c r="F11" s="1">
        <v>23.5</v>
      </c>
      <c r="H11" s="1">
        <v>51</v>
      </c>
      <c r="I11" s="1">
        <v>35.9</v>
      </c>
      <c r="L11" s="1">
        <v>0</v>
      </c>
      <c r="M11" s="1">
        <v>24.5</v>
      </c>
      <c r="O11" s="10" t="s">
        <v>34</v>
      </c>
      <c r="P11" s="10"/>
      <c r="Q11" s="10"/>
      <c r="R11" s="10"/>
      <c r="S11" s="10"/>
    </row>
    <row r="12" spans="1:19" x14ac:dyDescent="0.3">
      <c r="B12" s="1" t="s">
        <v>14</v>
      </c>
      <c r="C12" s="1">
        <v>25.9</v>
      </c>
      <c r="E12" s="1">
        <v>2</v>
      </c>
      <c r="F12" s="1">
        <v>25.1</v>
      </c>
      <c r="H12" s="1">
        <v>52</v>
      </c>
      <c r="I12" s="1">
        <v>35.9</v>
      </c>
      <c r="L12" s="1">
        <v>2</v>
      </c>
      <c r="M12" s="1">
        <v>25.1</v>
      </c>
      <c r="O12" s="9" t="s">
        <v>30</v>
      </c>
      <c r="P12" s="9"/>
      <c r="Q12" s="9"/>
      <c r="R12" s="9"/>
      <c r="S12" s="9"/>
    </row>
    <row r="13" spans="1:19" x14ac:dyDescent="0.3">
      <c r="B13" s="1" t="s">
        <v>15</v>
      </c>
      <c r="C13" s="1">
        <v>9.99</v>
      </c>
      <c r="E13" s="1">
        <v>4</v>
      </c>
      <c r="F13" s="1">
        <v>25.5</v>
      </c>
      <c r="H13" s="1">
        <v>53</v>
      </c>
      <c r="I13" s="1">
        <v>35.799999999999997</v>
      </c>
      <c r="L13" s="1">
        <v>4</v>
      </c>
      <c r="M13" s="1">
        <v>25.5</v>
      </c>
      <c r="O13" s="9"/>
      <c r="P13" s="9"/>
      <c r="Q13" s="9"/>
      <c r="R13" s="9"/>
      <c r="S13" s="9"/>
    </row>
    <row r="14" spans="1:19" x14ac:dyDescent="0.3">
      <c r="B14" s="1" t="s">
        <v>16</v>
      </c>
      <c r="C14" s="1">
        <v>16.2</v>
      </c>
      <c r="E14" s="1">
        <v>6</v>
      </c>
      <c r="F14" s="1">
        <v>26.4</v>
      </c>
      <c r="H14" s="1">
        <v>54</v>
      </c>
      <c r="I14" s="1">
        <v>35.700000000000003</v>
      </c>
      <c r="L14" s="1">
        <v>6</v>
      </c>
      <c r="M14" s="1">
        <v>26.4</v>
      </c>
      <c r="O14" s="9"/>
      <c r="P14" s="9"/>
      <c r="Q14" s="9"/>
      <c r="R14" s="9"/>
      <c r="S14" s="9"/>
    </row>
    <row r="15" spans="1:19" x14ac:dyDescent="0.3">
      <c r="E15" s="1">
        <v>8</v>
      </c>
      <c r="F15" s="1">
        <v>27.3</v>
      </c>
      <c r="H15" s="1">
        <v>55</v>
      </c>
      <c r="I15" s="1">
        <v>35.6</v>
      </c>
      <c r="L15" s="1">
        <v>8</v>
      </c>
      <c r="M15" s="1">
        <v>27.3</v>
      </c>
      <c r="O15" s="9"/>
      <c r="P15" s="9"/>
      <c r="Q15" s="9"/>
      <c r="R15" s="9"/>
      <c r="S15" s="9"/>
    </row>
    <row r="16" spans="1:19" x14ac:dyDescent="0.3">
      <c r="B16" s="2" t="s">
        <v>21</v>
      </c>
      <c r="C16" s="2"/>
      <c r="E16" s="1">
        <v>10</v>
      </c>
      <c r="F16" s="1">
        <v>27.7</v>
      </c>
      <c r="H16" s="1">
        <v>56</v>
      </c>
      <c r="I16" s="1">
        <v>35.6</v>
      </c>
      <c r="L16" s="1">
        <v>10</v>
      </c>
      <c r="M16" s="1">
        <v>27.7</v>
      </c>
      <c r="O16" s="1" t="s">
        <v>35</v>
      </c>
      <c r="P16" s="11">
        <f>(P10-S8)/S8</f>
        <v>7.1626893082517643E-2</v>
      </c>
    </row>
    <row r="17" spans="2:19" x14ac:dyDescent="0.3">
      <c r="B17" s="2">
        <v>46.5</v>
      </c>
      <c r="C17" s="2"/>
      <c r="E17" s="1">
        <v>12</v>
      </c>
      <c r="F17" s="1">
        <v>28.5</v>
      </c>
      <c r="H17" s="1">
        <v>57</v>
      </c>
      <c r="I17" s="1">
        <v>35.5</v>
      </c>
      <c r="L17" s="1">
        <v>12</v>
      </c>
      <c r="M17" s="1">
        <v>28.5</v>
      </c>
    </row>
    <row r="18" spans="2:19" ht="22.2" x14ac:dyDescent="0.3">
      <c r="B18" s="2" t="s">
        <v>22</v>
      </c>
      <c r="C18" s="2"/>
      <c r="E18" s="1">
        <v>14</v>
      </c>
      <c r="F18" s="1">
        <v>29.1</v>
      </c>
      <c r="H18" s="1">
        <v>58</v>
      </c>
      <c r="I18" s="1">
        <v>35.799999999999997</v>
      </c>
      <c r="L18" s="1">
        <v>14</v>
      </c>
      <c r="M18" s="1">
        <v>29.1</v>
      </c>
      <c r="O18" s="10" t="s">
        <v>33</v>
      </c>
      <c r="P18" s="10"/>
      <c r="Q18" s="10"/>
      <c r="R18" s="10"/>
      <c r="S18" s="10"/>
    </row>
    <row r="19" spans="2:19" x14ac:dyDescent="0.3">
      <c r="B19" s="2">
        <v>16.5</v>
      </c>
      <c r="C19" s="2"/>
      <c r="E19" s="1">
        <v>16</v>
      </c>
      <c r="F19" s="1">
        <v>29.3</v>
      </c>
      <c r="H19" s="1">
        <v>59</v>
      </c>
      <c r="I19" s="1">
        <v>35.200000000000003</v>
      </c>
      <c r="L19" s="1">
        <v>16</v>
      </c>
      <c r="M19" s="1">
        <v>29.3</v>
      </c>
      <c r="O19" s="9" t="s">
        <v>32</v>
      </c>
      <c r="P19" s="9"/>
      <c r="Q19" s="9"/>
      <c r="R19" s="9"/>
      <c r="S19" s="9"/>
    </row>
    <row r="20" spans="2:19" x14ac:dyDescent="0.3">
      <c r="B20" s="2" t="s">
        <v>23</v>
      </c>
      <c r="C20" s="2"/>
      <c r="E20" s="1">
        <v>18</v>
      </c>
      <c r="F20" s="1">
        <v>30.5</v>
      </c>
      <c r="H20" s="1">
        <v>60</v>
      </c>
      <c r="I20" s="1">
        <v>35</v>
      </c>
      <c r="L20" s="1">
        <v>18</v>
      </c>
      <c r="M20" s="1">
        <v>30.5</v>
      </c>
      <c r="O20" s="9"/>
      <c r="P20" s="9"/>
      <c r="Q20" s="9"/>
      <c r="R20" s="9"/>
      <c r="S20" s="9"/>
    </row>
    <row r="21" spans="2:19" x14ac:dyDescent="0.3">
      <c r="B21" s="2">
        <v>36.5</v>
      </c>
      <c r="C21" s="2"/>
      <c r="E21" s="1">
        <v>20</v>
      </c>
      <c r="F21" s="1">
        <v>30.8</v>
      </c>
      <c r="H21" s="1">
        <v>61</v>
      </c>
      <c r="I21" s="1">
        <v>35</v>
      </c>
      <c r="L21" s="1">
        <v>20</v>
      </c>
      <c r="M21" s="1">
        <v>30.8</v>
      </c>
      <c r="O21" s="9"/>
      <c r="P21" s="9"/>
      <c r="Q21" s="9"/>
      <c r="R21" s="9"/>
      <c r="S21" s="9"/>
    </row>
    <row r="22" spans="2:19" x14ac:dyDescent="0.3">
      <c r="B22" s="2" t="s">
        <v>24</v>
      </c>
      <c r="C22" s="2"/>
      <c r="E22" s="1">
        <v>22</v>
      </c>
      <c r="F22" s="1">
        <v>31.2</v>
      </c>
      <c r="H22" s="1">
        <v>62</v>
      </c>
      <c r="I22" s="1">
        <v>34.9</v>
      </c>
      <c r="L22" s="1">
        <v>22</v>
      </c>
      <c r="M22" s="1">
        <v>31.2</v>
      </c>
      <c r="O22" s="9"/>
      <c r="P22" s="9"/>
      <c r="Q22" s="9"/>
      <c r="R22" s="9"/>
      <c r="S22" s="9"/>
    </row>
    <row r="23" spans="2:19" x14ac:dyDescent="0.3">
      <c r="B23" s="2">
        <v>34.9</v>
      </c>
      <c r="C23" s="2"/>
      <c r="E23" s="1">
        <v>24</v>
      </c>
      <c r="F23" s="1">
        <v>31.8</v>
      </c>
      <c r="H23" s="1">
        <v>63</v>
      </c>
      <c r="I23" s="1">
        <v>34.9</v>
      </c>
      <c r="L23" s="1">
        <v>24</v>
      </c>
      <c r="M23" s="1">
        <v>31.8</v>
      </c>
      <c r="O23" s="1" t="s">
        <v>35</v>
      </c>
      <c r="P23" s="11">
        <f>(S8-P9)/S8</f>
        <v>3.754482297279618E-3</v>
      </c>
    </row>
    <row r="24" spans="2:19" x14ac:dyDescent="0.3">
      <c r="E24" s="1">
        <v>26</v>
      </c>
      <c r="F24" s="1">
        <v>31.8</v>
      </c>
      <c r="L24" s="1">
        <v>26</v>
      </c>
      <c r="M24" s="1">
        <v>31.8</v>
      </c>
    </row>
    <row r="25" spans="2:19" x14ac:dyDescent="0.3">
      <c r="E25" s="1">
        <v>28</v>
      </c>
      <c r="F25" s="1">
        <v>32.4</v>
      </c>
      <c r="L25" s="1">
        <v>28</v>
      </c>
      <c r="M25" s="1">
        <v>32.4</v>
      </c>
    </row>
    <row r="26" spans="2:19" x14ac:dyDescent="0.3">
      <c r="E26" s="1">
        <v>30</v>
      </c>
      <c r="F26" s="1">
        <v>32.5</v>
      </c>
      <c r="L26" s="1">
        <v>30</v>
      </c>
      <c r="M26" s="1">
        <v>32.5</v>
      </c>
    </row>
    <row r="27" spans="2:19" x14ac:dyDescent="0.3">
      <c r="E27" s="1">
        <v>32</v>
      </c>
      <c r="F27" s="1">
        <v>33.700000000000003</v>
      </c>
      <c r="L27" s="1">
        <v>32</v>
      </c>
      <c r="M27" s="1">
        <v>33.700000000000003</v>
      </c>
    </row>
    <row r="28" spans="2:19" ht="19.8" x14ac:dyDescent="0.3">
      <c r="B28" s="5" t="s">
        <v>25</v>
      </c>
      <c r="C28" s="2"/>
      <c r="E28" s="1">
        <v>34</v>
      </c>
      <c r="F28" s="1">
        <v>33.6</v>
      </c>
      <c r="L28" s="1">
        <v>34</v>
      </c>
      <c r="M28" s="1">
        <v>33.6</v>
      </c>
    </row>
    <row r="29" spans="2:19" x14ac:dyDescent="0.3">
      <c r="B29" s="4">
        <f>1/(B19-B17)*(LN((B23-C12)/(B21-C12)))</f>
        <v>5.4543141260600721E-3</v>
      </c>
      <c r="C29" s="4"/>
      <c r="E29" s="1">
        <v>36</v>
      </c>
      <c r="F29" s="1">
        <v>34.1</v>
      </c>
      <c r="L29" s="1">
        <v>36</v>
      </c>
      <c r="M29" s="1">
        <v>34.1</v>
      </c>
    </row>
    <row r="30" spans="2:19" ht="19.8" x14ac:dyDescent="0.3">
      <c r="B30" s="6" t="s">
        <v>26</v>
      </c>
      <c r="C30" s="2"/>
      <c r="E30" s="1">
        <v>38</v>
      </c>
      <c r="F30" s="1">
        <v>34.9</v>
      </c>
      <c r="L30" s="1">
        <v>38</v>
      </c>
      <c r="M30" s="1">
        <v>34.9</v>
      </c>
    </row>
    <row r="31" spans="2:19" x14ac:dyDescent="0.3">
      <c r="B31" s="7">
        <f>ABS(B29*((B21+C11)/2-C12)*B17)</f>
        <v>1.1666777915642499</v>
      </c>
      <c r="C31" s="7"/>
      <c r="E31" s="1">
        <v>40</v>
      </c>
      <c r="F31" s="1">
        <v>35.299999999999997</v>
      </c>
      <c r="L31" s="1">
        <v>40</v>
      </c>
      <c r="M31" s="1">
        <v>35.299999999999997</v>
      </c>
    </row>
    <row r="32" spans="2:19" x14ac:dyDescent="0.3">
      <c r="B32" s="2" t="s">
        <v>27</v>
      </c>
      <c r="C32" s="2"/>
      <c r="E32" s="1">
        <v>42</v>
      </c>
      <c r="F32" s="1">
        <v>35.5</v>
      </c>
      <c r="L32" s="1">
        <v>42</v>
      </c>
      <c r="M32" s="1">
        <v>35.5</v>
      </c>
    </row>
    <row r="33" spans="2:13" x14ac:dyDescent="0.3">
      <c r="B33" s="8">
        <f>B21+B31</f>
        <v>37.666677791564247</v>
      </c>
      <c r="C33" s="8"/>
      <c r="E33" s="1">
        <v>44</v>
      </c>
      <c r="F33" s="1">
        <v>35.6</v>
      </c>
      <c r="L33" s="1">
        <v>44</v>
      </c>
      <c r="M33" s="1">
        <v>35.6</v>
      </c>
    </row>
    <row r="34" spans="2:13" x14ac:dyDescent="0.3">
      <c r="B34" s="2"/>
      <c r="C34" s="2"/>
      <c r="E34" s="1">
        <v>46.5</v>
      </c>
      <c r="F34" s="1">
        <v>36.5</v>
      </c>
      <c r="L34" s="1">
        <v>46.5</v>
      </c>
      <c r="M34" s="1">
        <v>36.5</v>
      </c>
    </row>
    <row r="35" spans="2:13" x14ac:dyDescent="0.3">
      <c r="B35" s="2" t="s">
        <v>28</v>
      </c>
      <c r="C35" s="2"/>
      <c r="L35" s="1">
        <v>51</v>
      </c>
      <c r="M35" s="1">
        <v>35.9</v>
      </c>
    </row>
    <row r="36" spans="2:13" x14ac:dyDescent="0.3">
      <c r="B36" s="2">
        <f>C13^2/C14*B17*60</f>
        <v>17187.795000000002</v>
      </c>
      <c r="C36" s="2"/>
      <c r="L36" s="1">
        <v>52</v>
      </c>
      <c r="M36" s="1">
        <v>35.9</v>
      </c>
    </row>
    <row r="37" spans="2:13" x14ac:dyDescent="0.3">
      <c r="B37" s="2"/>
      <c r="C37" s="2"/>
      <c r="L37" s="1">
        <v>53</v>
      </c>
      <c r="M37" s="1">
        <v>35.799999999999997</v>
      </c>
    </row>
    <row r="38" spans="2:13" x14ac:dyDescent="0.3">
      <c r="L38" s="1">
        <v>54</v>
      </c>
      <c r="M38" s="1">
        <v>35.700000000000003</v>
      </c>
    </row>
    <row r="39" spans="2:13" x14ac:dyDescent="0.3">
      <c r="L39" s="1">
        <v>55</v>
      </c>
      <c r="M39" s="1">
        <v>35.6</v>
      </c>
    </row>
    <row r="40" spans="2:13" x14ac:dyDescent="0.3">
      <c r="L40" s="1">
        <v>56</v>
      </c>
      <c r="M40" s="1">
        <v>35.6</v>
      </c>
    </row>
    <row r="41" spans="2:13" x14ac:dyDescent="0.3">
      <c r="L41" s="1">
        <v>57</v>
      </c>
      <c r="M41" s="1">
        <v>35.5</v>
      </c>
    </row>
    <row r="42" spans="2:13" x14ac:dyDescent="0.3">
      <c r="L42" s="1">
        <v>58</v>
      </c>
      <c r="M42" s="1">
        <v>35.799999999999997</v>
      </c>
    </row>
    <row r="43" spans="2:13" x14ac:dyDescent="0.3">
      <c r="L43" s="1">
        <v>59</v>
      </c>
      <c r="M43" s="1">
        <v>35.200000000000003</v>
      </c>
    </row>
    <row r="44" spans="2:13" x14ac:dyDescent="0.3">
      <c r="L44" s="1">
        <v>60</v>
      </c>
      <c r="M44" s="1">
        <v>35</v>
      </c>
    </row>
    <row r="45" spans="2:13" x14ac:dyDescent="0.3">
      <c r="L45" s="1">
        <v>61</v>
      </c>
      <c r="M45" s="1">
        <v>35</v>
      </c>
    </row>
    <row r="46" spans="2:13" x14ac:dyDescent="0.3">
      <c r="L46" s="1">
        <v>62</v>
      </c>
      <c r="M46" s="1">
        <v>34.9</v>
      </c>
    </row>
    <row r="47" spans="2:13" x14ac:dyDescent="0.3">
      <c r="L47" s="1">
        <v>63</v>
      </c>
      <c r="M47" s="1">
        <v>34.9</v>
      </c>
    </row>
  </sheetData>
  <mergeCells count="32">
    <mergeCell ref="B34:C34"/>
    <mergeCell ref="B35:C35"/>
    <mergeCell ref="B36:C36"/>
    <mergeCell ref="B37:C37"/>
    <mergeCell ref="O19:S22"/>
    <mergeCell ref="I4:J4"/>
    <mergeCell ref="O18:S18"/>
    <mergeCell ref="O11:S11"/>
    <mergeCell ref="O12:S15"/>
    <mergeCell ref="B29:C29"/>
    <mergeCell ref="B30:C30"/>
    <mergeCell ref="B31:C31"/>
    <mergeCell ref="B32:C32"/>
    <mergeCell ref="B33:C33"/>
    <mergeCell ref="B22:C22"/>
    <mergeCell ref="B23:C23"/>
    <mergeCell ref="B21:C21"/>
    <mergeCell ref="B19:C19"/>
    <mergeCell ref="B17:C17"/>
    <mergeCell ref="B28:C28"/>
    <mergeCell ref="B6:C6"/>
    <mergeCell ref="B9:C9"/>
    <mergeCell ref="L9:M9"/>
    <mergeCell ref="B16:C16"/>
    <mergeCell ref="B18:C18"/>
    <mergeCell ref="B20:C20"/>
    <mergeCell ref="B1:C1"/>
    <mergeCell ref="B2:C2"/>
    <mergeCell ref="B3:C3"/>
    <mergeCell ref="F2:G2"/>
    <mergeCell ref="F3:G3"/>
    <mergeCell ref="B4:C4"/>
  </mergeCells>
  <phoneticPr fontId="1" type="noConversion"/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Bendan Wu</dc:creator>
  <cp:lastModifiedBy>Bendan Wu</cp:lastModifiedBy>
  <dcterms:created xsi:type="dcterms:W3CDTF">2025-12-09T07:57:02Z</dcterms:created>
  <dcterms:modified xsi:type="dcterms:W3CDTF">2025-12-09T08:53:00Z</dcterms:modified>
</cp:coreProperties>
</file>